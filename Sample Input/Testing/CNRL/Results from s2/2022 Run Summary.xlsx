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enozon.sharepoint.com/Shared Documents/Projects/Insight/Insight Dev Part 2/ILI Matching Python/Code Version 3/excel/Testing/CNRL/Results from s2/"/>
    </mc:Choice>
  </mc:AlternateContent>
  <xr:revisionPtr revIDLastSave="42" documentId="11_FDAACF90F63F94EFD55AAC50A12D82496003F106" xr6:coauthVersionLast="47" xr6:coauthVersionMax="47" xr10:uidLastSave="{72070F3D-41F4-4212-A0C6-144F1B20FA96}"/>
  <bookViews>
    <workbookView xWindow="-120" yWindow="-120" windowWidth="29040" windowHeight="15840" xr2:uid="{00000000-000D-0000-FFFF-FFFF00000000}"/>
  </bookViews>
  <sheets>
    <sheet name="Comparis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L4" i="1"/>
  <c r="M4" i="1"/>
  <c r="N4" i="1"/>
  <c r="O4" i="1"/>
  <c r="P4" i="1"/>
  <c r="R4" i="1"/>
  <c r="S4" i="1"/>
  <c r="J4" i="1"/>
</calcChain>
</file>

<file path=xl/sharedStrings.xml><?xml version="1.0" encoding="utf-8"?>
<sst xmlns="http://schemas.openxmlformats.org/spreadsheetml/2006/main" count="30" uniqueCount="29">
  <si>
    <t>9f599ae1-4be0-4097-afd5-bf57e60cdd80</t>
  </si>
  <si>
    <t>8eeb621c-a174-481e-899f-101e328d2a85</t>
  </si>
  <si>
    <t>Version-1</t>
  </si>
  <si>
    <t>ILI-291</t>
  </si>
  <si>
    <t>3e80c90e-a17d-4cc0-9885-95b87c38d8c1</t>
  </si>
  <si>
    <t>ILI-290</t>
  </si>
  <si>
    <t>FWD</t>
  </si>
  <si>
    <t>run_sid</t>
  </si>
  <si>
    <t>master_insp_guid</t>
  </si>
  <si>
    <t>master_version_id</t>
  </si>
  <si>
    <t>master_ili_id</t>
  </si>
  <si>
    <t>target_insp_guid</t>
  </si>
  <si>
    <t>target_version_id</t>
  </si>
  <si>
    <t>target_ili_id</t>
  </si>
  <si>
    <t>flow_direction</t>
  </si>
  <si>
    <t>total_master_joints</t>
  </si>
  <si>
    <t>total_target_joints</t>
  </si>
  <si>
    <t>matched_joints</t>
  </si>
  <si>
    <t>unmatched_joints</t>
  </si>
  <si>
    <t>questionable_matches</t>
  </si>
  <si>
    <t>feature_matches</t>
  </si>
  <si>
    <t>master_feature_match_percentage</t>
  </si>
  <si>
    <t>target_feature_match_percentage</t>
  </si>
  <si>
    <t>master_joint_percentage</t>
  </si>
  <si>
    <t>target_joint_percentage</t>
  </si>
  <si>
    <t>Version</t>
  </si>
  <si>
    <t>New</t>
  </si>
  <si>
    <t>Old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</si>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</sst>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S4" sqref="A1:S4"/>
    </sheetView>
  </sheetViews>
  <sheetFormatPr defaultRowHeight="15" x14ac:dyDescent="0.25"/>
  <cols>
    <col min="1" max="1" width="10.42578125" bestFit="1" customWidth="1"/>
    <col min="2" max="2" width="36.85546875" bestFit="1" customWidth="1"/>
    <col min="3" max="3" width="37.140625" bestFit="1" customWidth="1"/>
    <col min="4" max="4" width="17.7109375" bestFit="1" customWidth="1"/>
    <col min="5" max="5" width="12.5703125" bestFit="1" customWidth="1"/>
    <col min="6" max="6" width="36.7109375" bestFit="1" customWidth="1"/>
    <col min="7" max="7" width="16.7109375" bestFit="1" customWidth="1"/>
    <col min="8" max="8" width="11.7109375" bestFit="1" customWidth="1"/>
    <col min="9" max="9" width="14.140625" bestFit="1" customWidth="1"/>
    <col min="10" max="10" width="18.5703125" bestFit="1" customWidth="1"/>
    <col min="11" max="11" width="17.7109375" bestFit="1" customWidth="1"/>
    <col min="12" max="12" width="14.85546875" bestFit="1" customWidth="1"/>
    <col min="13" max="13" width="17.28515625" bestFit="1" customWidth="1"/>
    <col min="14" max="14" width="21.5703125" bestFit="1" customWidth="1"/>
    <col min="15" max="15" width="16.140625" bestFit="1" customWidth="1"/>
    <col min="16" max="16" width="32.85546875" bestFit="1" customWidth="1"/>
    <col min="17" max="17" width="32" bestFit="1" customWidth="1"/>
    <col min="18" max="18" width="23.7109375" bestFit="1" customWidth="1"/>
    <col min="19" max="19" width="22.85546875" bestFit="1" customWidth="1"/>
  </cols>
  <sheetData>
    <row r="1" spans="1:19" ht="15.75" thickBot="1" x14ac:dyDescent="0.3">
      <c r="A1" s="9" t="s">
        <v>25</v>
      </c>
      <c r="B1" s="3" t="s">
        <v>7</v>
      </c>
      <c r="C1" s="4" t="s">
        <v>8</v>
      </c>
      <c r="D1" s="4" t="s">
        <v>9</v>
      </c>
      <c r="E1" s="5" t="s">
        <v>10</v>
      </c>
      <c r="F1" s="4" t="s">
        <v>11</v>
      </c>
      <c r="G1" s="4" t="s">
        <v>12</v>
      </c>
      <c r="H1" s="4" t="s">
        <v>13</v>
      </c>
      <c r="I1" s="4" t="s">
        <v>14</v>
      </c>
      <c r="J1" s="4" t="s">
        <v>15</v>
      </c>
      <c r="K1" s="4" t="s">
        <v>16</v>
      </c>
      <c r="L1" s="4" t="s">
        <v>17</v>
      </c>
      <c r="M1" s="4" t="s">
        <v>18</v>
      </c>
      <c r="N1" s="4" t="s">
        <v>19</v>
      </c>
      <c r="O1" s="4" t="s">
        <v>20</v>
      </c>
      <c r="P1" s="4" t="s">
        <v>21</v>
      </c>
      <c r="Q1" s="4" t="s">
        <v>22</v>
      </c>
      <c r="R1" s="4" t="s">
        <v>23</v>
      </c>
      <c r="S1" s="5" t="s">
        <v>24</v>
      </c>
    </row>
    <row r="2" spans="1:19" ht="15.75" thickBot="1" x14ac:dyDescent="0.3">
      <c r="A2" s="10" t="s">
        <v>26</v>
      </c>
      <c r="B2" s="1" t="s">
        <v>0</v>
      </c>
      <c r="C2" s="2" t="s">
        <v>1</v>
      </c>
      <c r="D2" s="2" t="s">
        <v>2</v>
      </c>
      <c r="E2" s="6" t="s">
        <v>3</v>
      </c>
      <c r="F2" s="2" t="s">
        <v>4</v>
      </c>
      <c r="G2" s="2" t="s">
        <v>2</v>
      </c>
      <c r="H2" s="2" t="s">
        <v>5</v>
      </c>
      <c r="I2" s="2" t="s">
        <v>6</v>
      </c>
      <c r="J2" s="2">
        <v>1076</v>
      </c>
      <c r="K2" s="2">
        <v>1026</v>
      </c>
      <c r="L2" s="2">
        <v>991</v>
      </c>
      <c r="M2" s="2">
        <v>50</v>
      </c>
      <c r="N2" s="2">
        <v>12</v>
      </c>
      <c r="O2" s="2">
        <v>131</v>
      </c>
      <c r="P2" s="2">
        <v>67.95</v>
      </c>
      <c r="Q2" s="2">
        <v>100</v>
      </c>
      <c r="R2" s="2">
        <v>96.59</v>
      </c>
      <c r="S2" s="6">
        <v>96.59</v>
      </c>
    </row>
    <row r="3" spans="1:19" ht="15.75" thickBot="1" x14ac:dyDescent="0.3">
      <c r="A3" s="10" t="s">
        <v>27</v>
      </c>
      <c r="B3" s="1"/>
      <c r="C3" s="2"/>
      <c r="D3" s="2"/>
      <c r="E3" s="6"/>
      <c r="F3" s="2"/>
      <c r="G3" s="2"/>
      <c r="H3" s="2"/>
      <c r="I3" s="2"/>
      <c r="J3" s="2">
        <v>1013</v>
      </c>
      <c r="K3" s="2">
        <v>1013</v>
      </c>
      <c r="L3" s="2">
        <v>1003</v>
      </c>
      <c r="M3" s="2">
        <v>10</v>
      </c>
      <c r="N3" s="2">
        <v>0</v>
      </c>
      <c r="O3" s="2">
        <v>140</v>
      </c>
      <c r="P3" s="2">
        <v>68.67</v>
      </c>
      <c r="Q3" s="2">
        <v>100</v>
      </c>
      <c r="R3" s="2">
        <v>99.01</v>
      </c>
      <c r="S3" s="6">
        <v>99.01</v>
      </c>
    </row>
    <row r="4" spans="1:19" ht="15.75" thickBot="1" x14ac:dyDescent="0.3">
      <c r="A4" s="10" t="s">
        <v>28</v>
      </c>
      <c r="B4" s="1"/>
      <c r="C4" s="2"/>
      <c r="D4" s="2"/>
      <c r="E4" s="6"/>
      <c r="F4" s="2"/>
      <c r="G4" s="2"/>
      <c r="H4" s="2"/>
      <c r="I4" s="2"/>
      <c r="J4" s="7">
        <f>J2-J3</f>
        <v>63</v>
      </c>
      <c r="K4" s="7">
        <f t="shared" ref="K4:S4" si="0">K2-K3</f>
        <v>13</v>
      </c>
      <c r="L4" s="7">
        <f t="shared" si="0"/>
        <v>-12</v>
      </c>
      <c r="M4" s="7">
        <f t="shared" si="0"/>
        <v>40</v>
      </c>
      <c r="N4" s="7">
        <f t="shared" si="0"/>
        <v>12</v>
      </c>
      <c r="O4" s="7">
        <f t="shared" si="0"/>
        <v>-9</v>
      </c>
      <c r="P4" s="7">
        <f t="shared" si="0"/>
        <v>-0.71999999999999886</v>
      </c>
      <c r="Q4" s="7"/>
      <c r="R4" s="7">
        <f t="shared" si="0"/>
        <v>-2.4200000000000017</v>
      </c>
      <c r="S4" s="8">
        <f t="shared" si="0"/>
        <v>-2.4200000000000017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b8a3d945-67be-4e0e-b918-00c1c6f1f52e">
      <Url xsi:nil="true"/>
      <Description xsi:nil="true"/>
    </Link>
    <TaxCatchAll xmlns="ef61080c-15f8-448e-81c1-16bc25d6525d" xsi:nil="true"/>
    <link0 xmlns="b8a3d945-67be-4e0e-b918-00c1c6f1f52e">Source = Folder.Files("absolute folder path")</link0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F32570-13D4-4381-8BD3-9EF27560019F}">
  <ds:schemaRefs>
    <ds:schemaRef ds:uri="http://schemas.microsoft.com/office/2006/metadata/properties"/>
    <ds:schemaRef ds:uri="http://schemas.microsoft.com/office/infopath/2007/PartnerControls"/>
    <ds:schemaRef ds:uri="b8a3d945-67be-4e0e-b918-00c1c6f1f52e"/>
    <ds:schemaRef ds:uri="ef61080c-15f8-448e-81c1-16bc25d6525d"/>
  </ds:schemaRefs>
</ds:datastoreItem>
</file>

<file path=customXml/itemProps2.xml><?xml version="1.0" encoding="utf-8"?>
<ds:datastoreItem xmlns:ds="http://schemas.openxmlformats.org/officeDocument/2006/customXml" ds:itemID="{2D2A764F-D568-42F2-92DA-E7566FCC80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6ECCA3-9145-46D2-A0AE-61A6F906F4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61080c-15f8-448e-81c1-16bc25d6525d"/>
    <ds:schemaRef ds:uri="b8a3d945-67be-4e0e-b918-00c1c6f1f5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Guo</dc:creator>
  <cp:lastModifiedBy>Lin Guo</cp:lastModifiedBy>
  <dcterms:created xsi:type="dcterms:W3CDTF">2015-06-05T18:17:20Z</dcterms:created>
  <dcterms:modified xsi:type="dcterms:W3CDTF">2025-07-23T23:17:09Z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  <property fmtid="{D5CDD505-2E9C-101B-9397-08002B2CF9AE}" pid="3" name="MediaServiceImageTags">
    <vt:lpwstr/>
  </property>
</Properties>
</file>