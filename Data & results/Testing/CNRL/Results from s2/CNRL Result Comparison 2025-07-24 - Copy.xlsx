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sight/Insight Dev Part 2/ILI Matching Python/Code Version 3/excel/Testing/CNRL/Results from s2/"/>
    </mc:Choice>
  </mc:AlternateContent>
  <xr:revisionPtr revIDLastSave="60" documentId="11_1D42088BC02F9885A5B8ACAD796CA6376003F106" xr6:coauthVersionLast="47" xr6:coauthVersionMax="47" xr10:uidLastSave="{7454EDD3-8F03-455E-B7EC-FDCC94AACBD9}"/>
  <bookViews>
    <workbookView xWindow="-120" yWindow="-120" windowWidth="29040" windowHeight="15840" xr2:uid="{00000000-000D-0000-FFFF-FFFF00000000}"/>
  </bookViews>
  <sheets>
    <sheet name="Run Summary" sheetId="3" r:id="rId1"/>
    <sheet name="Joint Matching" sheetId="2" r:id="rId2"/>
    <sheet name="Feature Matchin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  <c r="K6" i="3"/>
  <c r="U6" i="3"/>
  <c r="T6" i="3"/>
  <c r="R6" i="3"/>
  <c r="Q6" i="3"/>
  <c r="P6" i="3"/>
  <c r="O6" i="3"/>
  <c r="N6" i="3"/>
  <c r="M6" i="3"/>
</calcChain>
</file>

<file path=xl/sharedStrings.xml><?xml version="1.0" encoding="utf-8"?>
<sst xmlns="http://schemas.openxmlformats.org/spreadsheetml/2006/main" count="235" uniqueCount="100">
  <si>
    <t>Comparison</t>
  </si>
  <si>
    <t>Correlated Joint Number</t>
  </si>
  <si>
    <t>Master Feature ID</t>
  </si>
  <si>
    <t>Target Feature ID</t>
  </si>
  <si>
    <t>Matched</t>
  </si>
  <si>
    <t>Master Depth %</t>
  </si>
  <si>
    <t>Target Depth %</t>
  </si>
  <si>
    <t>Master Orientation (deg)</t>
  </si>
  <si>
    <t>Target Orientation (deg)</t>
  </si>
  <si>
    <t>Master Distance to US Weld (m)</t>
  </si>
  <si>
    <t>Target Distance to US Weld (m)</t>
  </si>
  <si>
    <t>Master Wall Surface</t>
  </si>
  <si>
    <t>Target Wall Surface</t>
  </si>
  <si>
    <t>Wall Surface Flag</t>
  </si>
  <si>
    <t>Master Anomaly Type</t>
  </si>
  <si>
    <t>Target Anomaly Type</t>
  </si>
  <si>
    <t>Anomaly Type Flag</t>
  </si>
  <si>
    <t>fix_guid</t>
  </si>
  <si>
    <t>move_guid</t>
  </si>
  <si>
    <t>No joint matched</t>
  </si>
  <si>
    <t>2022-1</t>
  </si>
  <si>
    <t>2019-9</t>
  </si>
  <si>
    <t>Y</t>
  </si>
  <si>
    <t>external</t>
  </si>
  <si>
    <t>Metal Loss</t>
  </si>
  <si>
    <t>8eeb621c-a174-481e-899f-101e328d2a85</t>
  </si>
  <si>
    <t>3e80c90e-a17d-4cc0-9885-95b87c38d8c1</t>
  </si>
  <si>
    <t>2022-2</t>
  </si>
  <si>
    <t>2019-10</t>
  </si>
  <si>
    <t>2022-4</t>
  </si>
  <si>
    <t>2019-18</t>
  </si>
  <si>
    <t>2022-5</t>
  </si>
  <si>
    <t>N</t>
  </si>
  <si>
    <t>No feature matched</t>
  </si>
  <si>
    <t>2022-43</t>
  </si>
  <si>
    <t>cluster</t>
  </si>
  <si>
    <t>internal</t>
  </si>
  <si>
    <t>New Script</t>
  </si>
  <si>
    <t>Old Script</t>
  </si>
  <si>
    <t>master_joint_number</t>
  </si>
  <si>
    <t>target_joint_number</t>
  </si>
  <si>
    <t>status</t>
  </si>
  <si>
    <t>Master_joint_number</t>
  </si>
  <si>
    <t>Target_joint_number</t>
  </si>
  <si>
    <t>Unmatched / Questionable</t>
  </si>
  <si>
    <t>70</t>
  </si>
  <si>
    <t>115</t>
  </si>
  <si>
    <t>80</t>
  </si>
  <si>
    <t>125</t>
  </si>
  <si>
    <t>100</t>
  </si>
  <si>
    <t>170</t>
  </si>
  <si>
    <t>130</t>
  </si>
  <si>
    <t>200</t>
  </si>
  <si>
    <t>210</t>
  </si>
  <si>
    <t>280</t>
  </si>
  <si>
    <t>230</t>
  </si>
  <si>
    <t>300</t>
  </si>
  <si>
    <t>6100</t>
  </si>
  <si>
    <t>6170</t>
  </si>
  <si>
    <t>6130</t>
  </si>
  <si>
    <t>6200</t>
  </si>
  <si>
    <t>7020</t>
  </si>
  <si>
    <t>7090</t>
  </si>
  <si>
    <t>7040</t>
  </si>
  <si>
    <t>7110</t>
  </si>
  <si>
    <t>7420</t>
  </si>
  <si>
    <t>7490</t>
  </si>
  <si>
    <t>7440</t>
  </si>
  <si>
    <t>7510</t>
  </si>
  <si>
    <t>Version</t>
  </si>
  <si>
    <t>run_sid</t>
  </si>
  <si>
    <t>master_insp_guid</t>
  </si>
  <si>
    <t>master_version_id</t>
  </si>
  <si>
    <t>master_ili_id</t>
  </si>
  <si>
    <t>target_insp_guid</t>
  </si>
  <si>
    <t>target_version_id</t>
  </si>
  <si>
    <t>target_ili_id</t>
  </si>
  <si>
    <t>flow_direction</t>
  </si>
  <si>
    <t>total_master_joints</t>
  </si>
  <si>
    <t>total_target_joints</t>
  </si>
  <si>
    <t>matched_joints</t>
  </si>
  <si>
    <t>unmatched_joints</t>
  </si>
  <si>
    <t>questionable_matches</t>
  </si>
  <si>
    <t>feature_matches</t>
  </si>
  <si>
    <t>master_joint_percentage</t>
  </si>
  <si>
    <t>target_joint_percentage</t>
  </si>
  <si>
    <t>9f599ae1-4be0-4097-afd5-bf57e60cdd80</t>
  </si>
  <si>
    <t>Version-1</t>
  </si>
  <si>
    <t>ILI-291</t>
  </si>
  <si>
    <t>ILI-290</t>
  </si>
  <si>
    <t>FWD</t>
  </si>
  <si>
    <t>Difference</t>
  </si>
  <si>
    <t>Old (s2.py)</t>
  </si>
  <si>
    <t>all distinct joints, no filters / features involved</t>
  </si>
  <si>
    <t>Nigel's</t>
  </si>
  <si>
    <t>2022 master_feature_match_percentage</t>
  </si>
  <si>
    <t>2019 target_feature_match_percentage</t>
  </si>
  <si>
    <t>total master joint count</t>
  </si>
  <si>
    <t>total target joint count</t>
  </si>
  <si>
    <t>New (backup DB/ json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</si>
</sst>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1" applyBorder="1"/>
    <xf numFmtId="0" fontId="0" fillId="0" borderId="5" xfId="0" applyBorder="1"/>
    <xf numFmtId="0" fontId="0" fillId="0" borderId="6" xfId="0" applyBorder="1"/>
    <xf numFmtId="0" fontId="1" fillId="2" borderId="7" xfId="1" applyBorder="1"/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2" borderId="26" xfId="1" applyBorder="1" applyAlignment="1">
      <alignment horizontal="center" vertical="center"/>
    </xf>
    <xf numFmtId="0" fontId="1" fillId="2" borderId="27" xfId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" borderId="18" xfId="1" applyBorder="1" applyAlignment="1">
      <alignment horizontal="center" vertical="center"/>
    </xf>
    <xf numFmtId="0" fontId="1" fillId="2" borderId="21" xfId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94AC-891C-426A-B0FA-EA4CCE19DE49}">
  <dimension ref="A1:U6"/>
  <sheetViews>
    <sheetView tabSelected="1" workbookViewId="0">
      <pane xSplit="1" topLeftCell="M1" activePane="topRight" state="frozen"/>
      <selection pane="topRight" activeCell="T5" sqref="T5:U5"/>
    </sheetView>
  </sheetViews>
  <sheetFormatPr defaultRowHeight="15" x14ac:dyDescent="0.25"/>
  <cols>
    <col min="1" max="1" width="25" bestFit="1" customWidth="1"/>
    <col min="2" max="2" width="36.85546875" bestFit="1" customWidth="1"/>
    <col min="3" max="3" width="37.140625" bestFit="1" customWidth="1"/>
    <col min="4" max="4" width="17.7109375" bestFit="1" customWidth="1"/>
    <col min="5" max="5" width="12.5703125" bestFit="1" customWidth="1"/>
    <col min="6" max="6" width="36.7109375" bestFit="1" customWidth="1"/>
    <col min="7" max="7" width="16.7109375" bestFit="1" customWidth="1"/>
    <col min="8" max="8" width="11.7109375" bestFit="1" customWidth="1"/>
    <col min="9" max="9" width="14.140625" bestFit="1" customWidth="1"/>
    <col min="10" max="10" width="22.140625" bestFit="1" customWidth="1"/>
    <col min="11" max="11" width="43" bestFit="1" customWidth="1"/>
    <col min="12" max="12" width="43" customWidth="1"/>
    <col min="13" max="13" width="17.7109375" bestFit="1" customWidth="1"/>
    <col min="14" max="14" width="14.85546875" bestFit="1" customWidth="1"/>
    <col min="15" max="15" width="17.28515625" bestFit="1" customWidth="1"/>
    <col min="16" max="16" width="21.5703125" bestFit="1" customWidth="1"/>
    <col min="17" max="17" width="16.140625" bestFit="1" customWidth="1"/>
    <col min="18" max="18" width="37.42578125" bestFit="1" customWidth="1"/>
    <col min="19" max="19" width="36.5703125" bestFit="1" customWidth="1"/>
    <col min="20" max="20" width="23.7109375" bestFit="1" customWidth="1"/>
    <col min="21" max="21" width="22.85546875" bestFit="1" customWidth="1"/>
  </cols>
  <sheetData>
    <row r="1" spans="1:21" ht="15.75" thickBot="1" x14ac:dyDescent="0.3">
      <c r="A1" s="22" t="s">
        <v>69</v>
      </c>
      <c r="B1" s="22" t="s">
        <v>70</v>
      </c>
      <c r="C1" s="23" t="s">
        <v>71</v>
      </c>
      <c r="D1" s="23" t="s">
        <v>72</v>
      </c>
      <c r="E1" s="23" t="s">
        <v>73</v>
      </c>
      <c r="F1" s="23" t="s">
        <v>74</v>
      </c>
      <c r="G1" s="23" t="s">
        <v>75</v>
      </c>
      <c r="H1" s="24" t="s">
        <v>76</v>
      </c>
      <c r="I1" s="23" t="s">
        <v>77</v>
      </c>
      <c r="J1" s="23" t="s">
        <v>97</v>
      </c>
      <c r="K1" s="23" t="s">
        <v>78</v>
      </c>
      <c r="L1" s="23" t="s">
        <v>98</v>
      </c>
      <c r="M1" s="23" t="s">
        <v>79</v>
      </c>
      <c r="N1" s="23" t="s">
        <v>80</v>
      </c>
      <c r="O1" s="23" t="s">
        <v>81</v>
      </c>
      <c r="P1" s="23" t="s">
        <v>82</v>
      </c>
      <c r="Q1" s="23" t="s">
        <v>83</v>
      </c>
      <c r="R1" s="23" t="s">
        <v>95</v>
      </c>
      <c r="S1" s="23" t="s">
        <v>96</v>
      </c>
      <c r="T1" s="23" t="s">
        <v>84</v>
      </c>
      <c r="U1" s="24" t="s">
        <v>85</v>
      </c>
    </row>
    <row r="2" spans="1:21" ht="15.75" thickBot="1" x14ac:dyDescent="0.3">
      <c r="A2" s="22"/>
      <c r="B2" s="22"/>
      <c r="C2" s="23"/>
      <c r="D2" s="23"/>
      <c r="E2" s="23"/>
      <c r="F2" s="23"/>
      <c r="G2" s="23"/>
      <c r="H2" s="24"/>
      <c r="I2" s="23"/>
      <c r="J2" s="23"/>
      <c r="K2" s="23" t="s">
        <v>93</v>
      </c>
      <c r="L2" s="23"/>
      <c r="M2" s="23"/>
      <c r="N2" s="23"/>
      <c r="O2" s="23"/>
      <c r="P2" s="23"/>
      <c r="Q2" s="23"/>
      <c r="R2" s="23"/>
      <c r="S2" s="23"/>
      <c r="T2" s="23"/>
      <c r="U2" s="24"/>
    </row>
    <row r="3" spans="1:21" ht="15.75" thickBot="1" x14ac:dyDescent="0.3">
      <c r="A3" s="29" t="s">
        <v>99</v>
      </c>
      <c r="B3" s="37" t="s">
        <v>86</v>
      </c>
      <c r="C3" s="40" t="s">
        <v>25</v>
      </c>
      <c r="D3" s="40" t="s">
        <v>87</v>
      </c>
      <c r="E3" s="40" t="s">
        <v>88</v>
      </c>
      <c r="F3" s="40" t="s">
        <v>26</v>
      </c>
      <c r="G3" s="40" t="s">
        <v>87</v>
      </c>
      <c r="H3" s="34" t="s">
        <v>89</v>
      </c>
      <c r="I3" s="37" t="s">
        <v>90</v>
      </c>
      <c r="J3" s="31"/>
      <c r="K3" s="25">
        <v>1076</v>
      </c>
      <c r="L3" s="25"/>
      <c r="M3" s="25">
        <v>1026</v>
      </c>
      <c r="N3" s="25">
        <v>991</v>
      </c>
      <c r="O3" s="25">
        <v>50</v>
      </c>
      <c r="P3" s="25">
        <v>12</v>
      </c>
      <c r="Q3" s="25">
        <v>131</v>
      </c>
      <c r="R3" s="25">
        <v>67.95</v>
      </c>
      <c r="S3" s="46">
        <v>100</v>
      </c>
      <c r="T3" s="25">
        <v>96.59</v>
      </c>
      <c r="U3" s="26">
        <v>96.59</v>
      </c>
    </row>
    <row r="4" spans="1:21" ht="15.75" thickBot="1" x14ac:dyDescent="0.3">
      <c r="A4" s="29" t="s">
        <v>92</v>
      </c>
      <c r="B4" s="38"/>
      <c r="C4" s="41"/>
      <c r="D4" s="41"/>
      <c r="E4" s="41"/>
      <c r="F4" s="41"/>
      <c r="G4" s="41"/>
      <c r="H4" s="35"/>
      <c r="I4" s="38"/>
      <c r="J4" s="17"/>
      <c r="K4" s="25">
        <v>1013</v>
      </c>
      <c r="L4" s="25"/>
      <c r="M4" s="25">
        <v>1013</v>
      </c>
      <c r="N4" s="25">
        <v>1003</v>
      </c>
      <c r="O4" s="25">
        <v>10</v>
      </c>
      <c r="P4" s="25">
        <v>0</v>
      </c>
      <c r="Q4" s="25">
        <v>140</v>
      </c>
      <c r="R4" s="25">
        <v>68.67</v>
      </c>
      <c r="S4" s="47"/>
      <c r="T4" s="25">
        <v>99.01</v>
      </c>
      <c r="U4" s="26">
        <v>99.01</v>
      </c>
    </row>
    <row r="5" spans="1:21" ht="15.75" thickBot="1" x14ac:dyDescent="0.3">
      <c r="A5" s="30" t="s">
        <v>94</v>
      </c>
      <c r="B5" s="38"/>
      <c r="C5" s="41"/>
      <c r="D5" s="41"/>
      <c r="E5" s="41"/>
      <c r="F5" s="41"/>
      <c r="G5" s="41"/>
      <c r="H5" s="35"/>
      <c r="I5" s="38"/>
      <c r="J5" s="17"/>
      <c r="K5" s="25">
        <v>1013</v>
      </c>
      <c r="L5" s="25"/>
      <c r="M5" s="25">
        <v>1013</v>
      </c>
      <c r="N5" s="25">
        <f>ROUND(M5*99.01/100, 0)</f>
        <v>1003</v>
      </c>
      <c r="O5" s="25"/>
      <c r="P5" s="25"/>
      <c r="Q5" s="25"/>
      <c r="R5" s="25"/>
      <c r="S5" s="47"/>
      <c r="T5" s="25">
        <v>99.01</v>
      </c>
      <c r="U5" s="26">
        <v>99.01</v>
      </c>
    </row>
    <row r="6" spans="1:21" ht="15.75" thickBot="1" x14ac:dyDescent="0.3">
      <c r="A6" s="30" t="s">
        <v>91</v>
      </c>
      <c r="B6" s="39"/>
      <c r="C6" s="42"/>
      <c r="D6" s="42"/>
      <c r="E6" s="42"/>
      <c r="F6" s="42"/>
      <c r="G6" s="42"/>
      <c r="H6" s="36"/>
      <c r="I6" s="39"/>
      <c r="J6" s="20"/>
      <c r="K6" s="27">
        <f>K3-K4</f>
        <v>63</v>
      </c>
      <c r="L6" s="27"/>
      <c r="M6" s="27">
        <f t="shared" ref="M6:U6" si="0">M3-M4</f>
        <v>13</v>
      </c>
      <c r="N6" s="27">
        <f t="shared" si="0"/>
        <v>-12</v>
      </c>
      <c r="O6" s="27">
        <f t="shared" si="0"/>
        <v>40</v>
      </c>
      <c r="P6" s="27">
        <f t="shared" si="0"/>
        <v>12</v>
      </c>
      <c r="Q6" s="27">
        <f t="shared" si="0"/>
        <v>-9</v>
      </c>
      <c r="R6" s="27">
        <f t="shared" si="0"/>
        <v>-0.71999999999999886</v>
      </c>
      <c r="S6" s="48"/>
      <c r="T6" s="27">
        <f t="shared" si="0"/>
        <v>-2.4200000000000017</v>
      </c>
      <c r="U6" s="28">
        <f t="shared" si="0"/>
        <v>-2.4200000000000017</v>
      </c>
    </row>
  </sheetData>
  <mergeCells count="8">
    <mergeCell ref="H3:H6"/>
    <mergeCell ref="I3:I6"/>
    <mergeCell ref="B3:B6"/>
    <mergeCell ref="C3:C6"/>
    <mergeCell ref="D3:D6"/>
    <mergeCell ref="E3:E6"/>
    <mergeCell ref="F3:F6"/>
    <mergeCell ref="G3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E789-CE5B-4502-99D5-017B06A8E147}">
  <dimension ref="A1:F14"/>
  <sheetViews>
    <sheetView workbookViewId="0">
      <selection sqref="A1:C1"/>
    </sheetView>
  </sheetViews>
  <sheetFormatPr defaultColWidth="9.28515625" defaultRowHeight="15" x14ac:dyDescent="0.25"/>
  <cols>
    <col min="1" max="1" width="20.5703125" bestFit="1" customWidth="1"/>
    <col min="2" max="2" width="19.7109375" bestFit="1" customWidth="1"/>
    <col min="3" max="3" width="25.28515625" bestFit="1" customWidth="1"/>
    <col min="4" max="4" width="20.7109375" bestFit="1" customWidth="1"/>
    <col min="5" max="5" width="20" bestFit="1" customWidth="1"/>
    <col min="6" max="6" width="8.7109375" bestFit="1" customWidth="1"/>
  </cols>
  <sheetData>
    <row r="1" spans="1:6" x14ac:dyDescent="0.25">
      <c r="A1" s="43" t="s">
        <v>37</v>
      </c>
      <c r="B1" s="44"/>
      <c r="C1" s="45"/>
      <c r="D1" s="43" t="s">
        <v>38</v>
      </c>
      <c r="E1" s="44"/>
      <c r="F1" s="45"/>
    </row>
    <row r="2" spans="1:6" ht="15.75" thickBot="1" x14ac:dyDescent="0.3">
      <c r="A2" s="10" t="s">
        <v>39</v>
      </c>
      <c r="B2" s="11" t="s">
        <v>40</v>
      </c>
      <c r="C2" s="12" t="s">
        <v>41</v>
      </c>
      <c r="D2" s="13" t="s">
        <v>42</v>
      </c>
      <c r="E2" s="14" t="s">
        <v>43</v>
      </c>
      <c r="F2" s="15" t="s">
        <v>41</v>
      </c>
    </row>
    <row r="3" spans="1:6" ht="15.75" thickTop="1" x14ac:dyDescent="0.25">
      <c r="A3" s="16">
        <v>70</v>
      </c>
      <c r="B3" s="17">
        <v>115</v>
      </c>
      <c r="C3" s="32" t="s">
        <v>44</v>
      </c>
      <c r="D3" s="16" t="s">
        <v>45</v>
      </c>
      <c r="E3" s="17" t="s">
        <v>46</v>
      </c>
      <c r="F3" s="18" t="s">
        <v>4</v>
      </c>
    </row>
    <row r="4" spans="1:6" x14ac:dyDescent="0.25">
      <c r="A4" s="16">
        <v>80</v>
      </c>
      <c r="B4" s="17">
        <v>125</v>
      </c>
      <c r="C4" s="32" t="s">
        <v>44</v>
      </c>
      <c r="D4" s="16" t="s">
        <v>47</v>
      </c>
      <c r="E4" s="17" t="s">
        <v>48</v>
      </c>
      <c r="F4" s="18" t="s">
        <v>4</v>
      </c>
    </row>
    <row r="5" spans="1:6" x14ac:dyDescent="0.25">
      <c r="A5" s="16">
        <v>100</v>
      </c>
      <c r="B5" s="17">
        <v>170</v>
      </c>
      <c r="C5" s="32" t="s">
        <v>44</v>
      </c>
      <c r="D5" s="16" t="s">
        <v>49</v>
      </c>
      <c r="E5" s="17" t="s">
        <v>50</v>
      </c>
      <c r="F5" s="18" t="s">
        <v>4</v>
      </c>
    </row>
    <row r="6" spans="1:6" x14ac:dyDescent="0.25">
      <c r="A6" s="16">
        <v>130</v>
      </c>
      <c r="B6" s="17">
        <v>200</v>
      </c>
      <c r="C6" s="32" t="s">
        <v>44</v>
      </c>
      <c r="D6" s="16" t="s">
        <v>51</v>
      </c>
      <c r="E6" s="17" t="s">
        <v>52</v>
      </c>
      <c r="F6" s="18" t="s">
        <v>4</v>
      </c>
    </row>
    <row r="7" spans="1:6" x14ac:dyDescent="0.25">
      <c r="A7" s="16">
        <v>210</v>
      </c>
      <c r="B7" s="17">
        <v>280</v>
      </c>
      <c r="C7" s="32" t="s">
        <v>44</v>
      </c>
      <c r="D7" s="16" t="s">
        <v>53</v>
      </c>
      <c r="E7" s="17" t="s">
        <v>54</v>
      </c>
      <c r="F7" s="18" t="s">
        <v>4</v>
      </c>
    </row>
    <row r="8" spans="1:6" x14ac:dyDescent="0.25">
      <c r="A8" s="16">
        <v>230</v>
      </c>
      <c r="B8" s="17">
        <v>300</v>
      </c>
      <c r="C8" s="32" t="s">
        <v>44</v>
      </c>
      <c r="D8" s="16" t="s">
        <v>55</v>
      </c>
      <c r="E8" s="17" t="s">
        <v>56</v>
      </c>
      <c r="F8" s="18" t="s">
        <v>4</v>
      </c>
    </row>
    <row r="9" spans="1:6" x14ac:dyDescent="0.25">
      <c r="A9" s="16">
        <v>6100</v>
      </c>
      <c r="B9" s="17">
        <v>6170</v>
      </c>
      <c r="C9" s="32" t="s">
        <v>44</v>
      </c>
      <c r="D9" s="16" t="s">
        <v>57</v>
      </c>
      <c r="E9" s="17" t="s">
        <v>58</v>
      </c>
      <c r="F9" s="18" t="s">
        <v>4</v>
      </c>
    </row>
    <row r="10" spans="1:6" x14ac:dyDescent="0.25">
      <c r="A10" s="16">
        <v>6130</v>
      </c>
      <c r="B10" s="17">
        <v>6200</v>
      </c>
      <c r="C10" s="32" t="s">
        <v>44</v>
      </c>
      <c r="D10" s="16" t="s">
        <v>59</v>
      </c>
      <c r="E10" s="17" t="s">
        <v>60</v>
      </c>
      <c r="F10" s="18" t="s">
        <v>4</v>
      </c>
    </row>
    <row r="11" spans="1:6" x14ac:dyDescent="0.25">
      <c r="A11" s="16">
        <v>7020</v>
      </c>
      <c r="B11" s="17">
        <v>7090</v>
      </c>
      <c r="C11" s="32" t="s">
        <v>44</v>
      </c>
      <c r="D11" s="16" t="s">
        <v>61</v>
      </c>
      <c r="E11" s="17" t="s">
        <v>62</v>
      </c>
      <c r="F11" s="18" t="s">
        <v>4</v>
      </c>
    </row>
    <row r="12" spans="1:6" x14ac:dyDescent="0.25">
      <c r="A12" s="16">
        <v>7040</v>
      </c>
      <c r="B12" s="17">
        <v>7110</v>
      </c>
      <c r="C12" s="32" t="s">
        <v>44</v>
      </c>
      <c r="D12" s="16" t="s">
        <v>63</v>
      </c>
      <c r="E12" s="17" t="s">
        <v>64</v>
      </c>
      <c r="F12" s="18" t="s">
        <v>4</v>
      </c>
    </row>
    <row r="13" spans="1:6" x14ac:dyDescent="0.25">
      <c r="A13" s="16">
        <v>7420</v>
      </c>
      <c r="B13" s="17">
        <v>7490</v>
      </c>
      <c r="C13" s="32" t="s">
        <v>44</v>
      </c>
      <c r="D13" s="16" t="s">
        <v>65</v>
      </c>
      <c r="E13" s="17" t="s">
        <v>66</v>
      </c>
      <c r="F13" s="18" t="s">
        <v>4</v>
      </c>
    </row>
    <row r="14" spans="1:6" ht="15.75" thickBot="1" x14ac:dyDescent="0.3">
      <c r="A14" s="19">
        <v>7440</v>
      </c>
      <c r="B14" s="20">
        <v>7510</v>
      </c>
      <c r="C14" s="33" t="s">
        <v>44</v>
      </c>
      <c r="D14" s="19" t="s">
        <v>67</v>
      </c>
      <c r="E14" s="20" t="s">
        <v>68</v>
      </c>
      <c r="F14" s="21" t="s">
        <v>4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activeCell="D19" sqref="D19"/>
    </sheetView>
  </sheetViews>
  <sheetFormatPr defaultRowHeight="15" x14ac:dyDescent="0.25"/>
  <cols>
    <col min="1" max="1" width="19" bestFit="1" customWidth="1"/>
    <col min="2" max="2" width="23.28515625" bestFit="1" customWidth="1"/>
    <col min="3" max="3" width="17" bestFit="1" customWidth="1"/>
    <col min="4" max="4" width="16.28515625" bestFit="1" customWidth="1"/>
    <col min="5" max="5" width="8.85546875" bestFit="1" customWidth="1"/>
    <col min="6" max="6" width="15.28515625" bestFit="1" customWidth="1"/>
    <col min="7" max="7" width="14.5703125" bestFit="1" customWidth="1"/>
    <col min="8" max="8" width="23.5703125" bestFit="1" customWidth="1"/>
    <col min="9" max="9" width="22.85546875" bestFit="1" customWidth="1"/>
    <col min="10" max="10" width="30" bestFit="1" customWidth="1"/>
    <col min="11" max="11" width="29.140625" bestFit="1" customWidth="1"/>
    <col min="12" max="12" width="19.140625" bestFit="1" customWidth="1"/>
    <col min="13" max="13" width="18.42578125" bestFit="1" customWidth="1"/>
    <col min="14" max="14" width="16.28515625" bestFit="1" customWidth="1"/>
    <col min="15" max="15" width="20.5703125" bestFit="1" customWidth="1"/>
    <col min="16" max="16" width="19.85546875" bestFit="1" customWidth="1"/>
    <col min="17" max="17" width="17.85546875" bestFit="1" customWidth="1"/>
    <col min="18" max="18" width="37.140625" bestFit="1" customWidth="1"/>
    <col min="19" max="19" width="36.7109375" bestFit="1" customWidth="1"/>
  </cols>
  <sheetData>
    <row r="1" spans="1:19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5.75" thickTop="1" x14ac:dyDescent="0.25">
      <c r="A2" s="4" t="s">
        <v>19</v>
      </c>
      <c r="B2" s="5">
        <v>70</v>
      </c>
      <c r="C2" s="6" t="s">
        <v>20</v>
      </c>
      <c r="D2" s="6" t="s">
        <v>21</v>
      </c>
      <c r="E2" s="6" t="s">
        <v>22</v>
      </c>
      <c r="F2" s="6">
        <v>0</v>
      </c>
      <c r="G2" s="6">
        <v>0</v>
      </c>
      <c r="H2" s="6">
        <v>333.5</v>
      </c>
      <c r="I2" s="6">
        <v>340</v>
      </c>
      <c r="J2" s="6">
        <v>13.38</v>
      </c>
      <c r="K2" s="6">
        <v>13.368</v>
      </c>
      <c r="L2" s="6" t="s">
        <v>23</v>
      </c>
      <c r="M2" s="6" t="s">
        <v>23</v>
      </c>
      <c r="N2" s="6">
        <v>0</v>
      </c>
      <c r="O2" s="6" t="s">
        <v>24</v>
      </c>
      <c r="P2" s="6" t="s">
        <v>24</v>
      </c>
      <c r="Q2" s="6">
        <v>0</v>
      </c>
      <c r="R2" s="6" t="s">
        <v>25</v>
      </c>
      <c r="S2" s="6" t="s">
        <v>26</v>
      </c>
    </row>
    <row r="3" spans="1:19" x14ac:dyDescent="0.25">
      <c r="A3" s="7" t="s">
        <v>19</v>
      </c>
      <c r="B3" s="8">
        <v>70</v>
      </c>
      <c r="C3" s="9" t="s">
        <v>20</v>
      </c>
      <c r="D3" s="9" t="s">
        <v>21</v>
      </c>
      <c r="E3" s="9" t="s">
        <v>22</v>
      </c>
      <c r="F3" s="9">
        <v>0</v>
      </c>
      <c r="G3" s="9">
        <v>0</v>
      </c>
      <c r="H3" s="9">
        <v>192.5</v>
      </c>
      <c r="I3" s="9">
        <v>197.5</v>
      </c>
      <c r="J3" s="9">
        <v>13.340999999999999</v>
      </c>
      <c r="K3" s="9">
        <v>13.337999999999999</v>
      </c>
      <c r="L3" s="9" t="s">
        <v>23</v>
      </c>
      <c r="M3" s="9" t="s">
        <v>23</v>
      </c>
      <c r="N3" s="9">
        <v>0</v>
      </c>
      <c r="O3" s="9" t="s">
        <v>24</v>
      </c>
      <c r="P3" s="9" t="s">
        <v>24</v>
      </c>
      <c r="Q3" s="9">
        <v>0</v>
      </c>
      <c r="R3" s="9" t="s">
        <v>25</v>
      </c>
      <c r="S3" s="9" t="s">
        <v>26</v>
      </c>
    </row>
    <row r="4" spans="1:19" x14ac:dyDescent="0.25">
      <c r="A4" s="7" t="s">
        <v>19</v>
      </c>
      <c r="B4" s="8">
        <v>70</v>
      </c>
      <c r="C4" s="9" t="s">
        <v>27</v>
      </c>
      <c r="D4" s="9" t="s">
        <v>28</v>
      </c>
      <c r="E4" s="9" t="s">
        <v>22</v>
      </c>
      <c r="F4" s="9">
        <v>0</v>
      </c>
      <c r="G4" s="9">
        <v>0</v>
      </c>
      <c r="H4" s="9">
        <v>192.5</v>
      </c>
      <c r="I4" s="9">
        <v>197.5</v>
      </c>
      <c r="J4" s="9">
        <v>13.340999999999999</v>
      </c>
      <c r="K4" s="9">
        <v>13.337999999999999</v>
      </c>
      <c r="L4" s="9" t="s">
        <v>23</v>
      </c>
      <c r="M4" s="9" t="s">
        <v>23</v>
      </c>
      <c r="N4" s="9">
        <v>0</v>
      </c>
      <c r="O4" s="9" t="s">
        <v>24</v>
      </c>
      <c r="P4" s="9" t="s">
        <v>24</v>
      </c>
      <c r="Q4" s="9">
        <v>0</v>
      </c>
      <c r="R4" s="9" t="s">
        <v>25</v>
      </c>
      <c r="S4" s="9" t="s">
        <v>26</v>
      </c>
    </row>
    <row r="5" spans="1:19" x14ac:dyDescent="0.25">
      <c r="A5" s="7" t="s">
        <v>19</v>
      </c>
      <c r="B5" s="8">
        <v>70</v>
      </c>
      <c r="C5" s="9" t="s">
        <v>27</v>
      </c>
      <c r="D5" s="9" t="s">
        <v>28</v>
      </c>
      <c r="E5" s="9" t="s">
        <v>22</v>
      </c>
      <c r="F5" s="9">
        <v>0</v>
      </c>
      <c r="G5" s="9">
        <v>0</v>
      </c>
      <c r="H5" s="9">
        <v>333.5</v>
      </c>
      <c r="I5" s="9">
        <v>340</v>
      </c>
      <c r="J5" s="9">
        <v>13.38</v>
      </c>
      <c r="K5" s="9">
        <v>13.368</v>
      </c>
      <c r="L5" s="9" t="s">
        <v>23</v>
      </c>
      <c r="M5" s="9" t="s">
        <v>23</v>
      </c>
      <c r="N5" s="9">
        <v>0</v>
      </c>
      <c r="O5" s="9" t="s">
        <v>24</v>
      </c>
      <c r="P5" s="9" t="s">
        <v>24</v>
      </c>
      <c r="Q5" s="9">
        <v>0</v>
      </c>
      <c r="R5" s="9" t="s">
        <v>25</v>
      </c>
      <c r="S5" s="9" t="s">
        <v>26</v>
      </c>
    </row>
    <row r="6" spans="1:19" x14ac:dyDescent="0.25">
      <c r="A6" s="7" t="s">
        <v>19</v>
      </c>
      <c r="B6" s="8">
        <v>210</v>
      </c>
      <c r="C6" s="9" t="s">
        <v>29</v>
      </c>
      <c r="D6" s="9" t="s">
        <v>30</v>
      </c>
      <c r="E6" s="9" t="s">
        <v>22</v>
      </c>
      <c r="F6" s="9">
        <v>0</v>
      </c>
      <c r="G6" s="9">
        <v>0</v>
      </c>
      <c r="H6" s="9">
        <v>236.5</v>
      </c>
      <c r="I6" s="9">
        <v>232.5</v>
      </c>
      <c r="J6" s="9">
        <v>0.114</v>
      </c>
      <c r="K6" s="9">
        <v>9.4E-2</v>
      </c>
      <c r="L6" s="9" t="s">
        <v>23</v>
      </c>
      <c r="M6" s="9" t="s">
        <v>23</v>
      </c>
      <c r="N6" s="9">
        <v>0</v>
      </c>
      <c r="O6" s="9" t="s">
        <v>24</v>
      </c>
      <c r="P6" s="9" t="s">
        <v>24</v>
      </c>
      <c r="Q6" s="9">
        <v>0</v>
      </c>
      <c r="R6" s="9" t="s">
        <v>25</v>
      </c>
      <c r="S6" s="9" t="s">
        <v>26</v>
      </c>
    </row>
    <row r="7" spans="1:19" x14ac:dyDescent="0.25">
      <c r="A7" s="7" t="s">
        <v>19</v>
      </c>
      <c r="B7" s="8">
        <v>210</v>
      </c>
      <c r="C7" s="9" t="s">
        <v>29</v>
      </c>
      <c r="D7" s="9" t="s">
        <v>30</v>
      </c>
      <c r="E7" s="9" t="s">
        <v>22</v>
      </c>
      <c r="F7" s="9">
        <v>0</v>
      </c>
      <c r="G7" s="9">
        <v>0</v>
      </c>
      <c r="H7" s="9">
        <v>236.5</v>
      </c>
      <c r="I7" s="9">
        <v>232.5</v>
      </c>
      <c r="J7" s="9">
        <v>0.114</v>
      </c>
      <c r="K7" s="9">
        <v>9.4E-2</v>
      </c>
      <c r="L7" s="9" t="s">
        <v>23</v>
      </c>
      <c r="M7" s="9" t="s">
        <v>23</v>
      </c>
      <c r="N7" s="9">
        <v>0</v>
      </c>
      <c r="O7" s="9" t="s">
        <v>24</v>
      </c>
      <c r="P7" s="9" t="s">
        <v>24</v>
      </c>
      <c r="Q7" s="9">
        <v>0</v>
      </c>
      <c r="R7" s="9" t="s">
        <v>25</v>
      </c>
      <c r="S7" s="9" t="s">
        <v>26</v>
      </c>
    </row>
    <row r="8" spans="1:19" x14ac:dyDescent="0.25">
      <c r="A8" s="7" t="s">
        <v>19</v>
      </c>
      <c r="B8" s="8">
        <v>210</v>
      </c>
      <c r="C8" s="9" t="s">
        <v>31</v>
      </c>
      <c r="D8" s="9"/>
      <c r="E8" s="9" t="s">
        <v>32</v>
      </c>
      <c r="F8" s="9">
        <v>0</v>
      </c>
      <c r="G8" s="9"/>
      <c r="H8" s="9">
        <v>145</v>
      </c>
      <c r="I8" s="9"/>
      <c r="J8" s="9">
        <v>0.13600000000000001</v>
      </c>
      <c r="K8" s="9"/>
      <c r="L8" s="9" t="s">
        <v>23</v>
      </c>
      <c r="M8" s="9"/>
      <c r="N8" s="9">
        <v>0</v>
      </c>
      <c r="O8" s="9" t="s">
        <v>24</v>
      </c>
      <c r="P8" s="9"/>
      <c r="Q8" s="9">
        <v>0</v>
      </c>
      <c r="R8" s="9" t="s">
        <v>25</v>
      </c>
      <c r="S8" s="9" t="s">
        <v>26</v>
      </c>
    </row>
    <row r="9" spans="1:19" x14ac:dyDescent="0.25">
      <c r="A9" s="7" t="s">
        <v>33</v>
      </c>
      <c r="B9" s="8">
        <v>4050</v>
      </c>
      <c r="C9" s="9" t="s">
        <v>20</v>
      </c>
      <c r="D9" s="9" t="s">
        <v>21</v>
      </c>
      <c r="E9" s="9" t="s">
        <v>22</v>
      </c>
      <c r="F9" s="9">
        <v>0</v>
      </c>
      <c r="G9" s="9">
        <v>0</v>
      </c>
      <c r="H9" s="9">
        <v>109</v>
      </c>
      <c r="I9" s="9">
        <v>92.5</v>
      </c>
      <c r="J9" s="9">
        <v>17.138000000000002</v>
      </c>
      <c r="K9" s="9">
        <v>17.138000000000002</v>
      </c>
      <c r="L9" s="9" t="s">
        <v>23</v>
      </c>
      <c r="M9" s="9" t="s">
        <v>23</v>
      </c>
      <c r="N9" s="9">
        <v>0</v>
      </c>
      <c r="O9" s="9" t="s">
        <v>24</v>
      </c>
      <c r="P9" s="9" t="s">
        <v>24</v>
      </c>
      <c r="Q9" s="9">
        <v>0</v>
      </c>
      <c r="R9" s="9" t="s">
        <v>25</v>
      </c>
      <c r="S9" s="9" t="s">
        <v>26</v>
      </c>
    </row>
    <row r="10" spans="1:19" x14ac:dyDescent="0.25">
      <c r="A10" s="7" t="s">
        <v>33</v>
      </c>
      <c r="B10" s="8">
        <v>4050</v>
      </c>
      <c r="C10" s="9" t="s">
        <v>20</v>
      </c>
      <c r="D10" s="9" t="s">
        <v>21</v>
      </c>
      <c r="E10" s="9" t="s">
        <v>22</v>
      </c>
      <c r="F10" s="9">
        <v>0</v>
      </c>
      <c r="G10" s="9">
        <v>0</v>
      </c>
      <c r="H10" s="9">
        <v>212.5</v>
      </c>
      <c r="I10" s="9">
        <v>220</v>
      </c>
      <c r="J10" s="9">
        <v>17.181999999999999</v>
      </c>
      <c r="K10" s="9">
        <v>17.172000000000001</v>
      </c>
      <c r="L10" s="9" t="s">
        <v>23</v>
      </c>
      <c r="M10" s="9" t="s">
        <v>23</v>
      </c>
      <c r="N10" s="9">
        <v>0</v>
      </c>
      <c r="O10" s="9" t="s">
        <v>24</v>
      </c>
      <c r="P10" s="9" t="s">
        <v>24</v>
      </c>
      <c r="Q10" s="9">
        <v>0</v>
      </c>
      <c r="R10" s="9" t="s">
        <v>25</v>
      </c>
      <c r="S10" s="9" t="s">
        <v>26</v>
      </c>
    </row>
    <row r="11" spans="1:19" x14ac:dyDescent="0.25">
      <c r="A11" s="7" t="s">
        <v>33</v>
      </c>
      <c r="B11" s="8">
        <v>4050</v>
      </c>
      <c r="C11" s="9" t="s">
        <v>34</v>
      </c>
      <c r="D11" s="9"/>
      <c r="E11" s="9" t="s">
        <v>22</v>
      </c>
      <c r="F11" s="9">
        <v>0</v>
      </c>
      <c r="G11" s="9">
        <v>0</v>
      </c>
      <c r="H11" s="9">
        <v>105.5</v>
      </c>
      <c r="I11" s="9">
        <v>197.5</v>
      </c>
      <c r="J11" s="9">
        <v>17.145</v>
      </c>
      <c r="K11" s="9">
        <v>13.337999999999999</v>
      </c>
      <c r="L11" s="9" t="s">
        <v>23</v>
      </c>
      <c r="M11" s="9" t="s">
        <v>23</v>
      </c>
      <c r="N11" s="9">
        <v>0</v>
      </c>
      <c r="O11" s="9" t="s">
        <v>35</v>
      </c>
      <c r="P11" s="9" t="s">
        <v>24</v>
      </c>
      <c r="Q11" s="9">
        <v>1</v>
      </c>
      <c r="R11" s="9" t="s">
        <v>25</v>
      </c>
      <c r="S11" s="9" t="s">
        <v>26</v>
      </c>
    </row>
    <row r="12" spans="1:19" x14ac:dyDescent="0.25">
      <c r="A12" s="7" t="s">
        <v>33</v>
      </c>
      <c r="B12" s="8">
        <v>4060</v>
      </c>
      <c r="C12" s="9" t="s">
        <v>27</v>
      </c>
      <c r="D12" s="9" t="s">
        <v>28</v>
      </c>
      <c r="E12" s="9" t="s">
        <v>22</v>
      </c>
      <c r="F12" s="9">
        <v>0</v>
      </c>
      <c r="G12" s="9">
        <v>0</v>
      </c>
      <c r="H12" s="9">
        <v>148</v>
      </c>
      <c r="I12" s="9">
        <v>340</v>
      </c>
      <c r="J12" s="9">
        <v>7.1999999999999995E-2</v>
      </c>
      <c r="K12" s="9">
        <v>13.368</v>
      </c>
      <c r="L12" s="9" t="s">
        <v>23</v>
      </c>
      <c r="M12" s="9" t="s">
        <v>23</v>
      </c>
      <c r="N12" s="9">
        <v>0</v>
      </c>
      <c r="O12" s="9" t="s">
        <v>35</v>
      </c>
      <c r="P12" s="9" t="s">
        <v>24</v>
      </c>
      <c r="Q12" s="9">
        <v>1</v>
      </c>
      <c r="R12" s="9" t="s">
        <v>25</v>
      </c>
      <c r="S12" s="9" t="s">
        <v>26</v>
      </c>
    </row>
    <row r="13" spans="1:19" x14ac:dyDescent="0.25">
      <c r="A13" s="7" t="s">
        <v>33</v>
      </c>
      <c r="B13" s="8">
        <v>4060</v>
      </c>
      <c r="C13" s="9" t="s">
        <v>27</v>
      </c>
      <c r="D13" s="9" t="s">
        <v>28</v>
      </c>
      <c r="E13" s="9" t="s">
        <v>22</v>
      </c>
      <c r="F13" s="9">
        <v>0</v>
      </c>
      <c r="G13" s="9">
        <v>0</v>
      </c>
      <c r="H13" s="9">
        <v>148</v>
      </c>
      <c r="I13" s="9">
        <v>340</v>
      </c>
      <c r="J13" s="9">
        <v>7.1999999999999995E-2</v>
      </c>
      <c r="K13" s="9">
        <v>13.368</v>
      </c>
      <c r="L13" s="9" t="s">
        <v>23</v>
      </c>
      <c r="M13" s="9" t="s">
        <v>23</v>
      </c>
      <c r="N13" s="9">
        <v>0</v>
      </c>
      <c r="O13" s="9" t="s">
        <v>35</v>
      </c>
      <c r="P13" s="9" t="s">
        <v>24</v>
      </c>
      <c r="Q13" s="9">
        <v>1</v>
      </c>
      <c r="R13" s="9" t="s">
        <v>25</v>
      </c>
      <c r="S13" s="9" t="s">
        <v>26</v>
      </c>
    </row>
    <row r="14" spans="1:19" x14ac:dyDescent="0.25">
      <c r="A14" s="7" t="s">
        <v>33</v>
      </c>
      <c r="B14" s="8">
        <v>8410</v>
      </c>
      <c r="C14" s="9" t="s">
        <v>29</v>
      </c>
      <c r="D14" s="9" t="s">
        <v>30</v>
      </c>
      <c r="E14" s="9" t="s">
        <v>22</v>
      </c>
      <c r="F14" s="9">
        <v>0</v>
      </c>
      <c r="G14" s="9">
        <v>0</v>
      </c>
      <c r="H14" s="9">
        <v>164</v>
      </c>
      <c r="I14" s="9">
        <v>232.5</v>
      </c>
      <c r="J14" s="9">
        <v>14.487</v>
      </c>
      <c r="K14" s="9">
        <v>9.4E-2</v>
      </c>
      <c r="L14" s="9" t="s">
        <v>36</v>
      </c>
      <c r="M14" s="9" t="s">
        <v>23</v>
      </c>
      <c r="N14" s="9">
        <v>1</v>
      </c>
      <c r="O14" s="9" t="s">
        <v>35</v>
      </c>
      <c r="P14" s="9" t="s">
        <v>24</v>
      </c>
      <c r="Q14" s="9">
        <v>1</v>
      </c>
      <c r="R14" s="9" t="s">
        <v>25</v>
      </c>
      <c r="S14" s="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0DE48A-32E0-4D41-BA17-2E9ABC71C0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AD08ED-E51E-4DFB-85D4-EE75C67B91A1}">
  <ds:schemaRefs>
    <ds:schemaRef ds:uri="ef61080c-15f8-448e-81c1-16bc25d6525d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b8a3d945-67be-4e0e-b918-00c1c6f1f52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B97D8E1-4158-45E2-8A6F-A5D386D63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Summary</vt:lpstr>
      <vt:lpstr>Joint Matching</vt:lpstr>
      <vt:lpstr>Feature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Guo</dc:creator>
  <cp:lastModifiedBy>Lin Guo</cp:lastModifiedBy>
  <dcterms:created xsi:type="dcterms:W3CDTF">2015-06-05T18:17:20Z</dcterms:created>
  <dcterms:modified xsi:type="dcterms:W3CDTF">2025-07-28T19:00:08Z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